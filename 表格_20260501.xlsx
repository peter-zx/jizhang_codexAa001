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10320"/>
  </bookViews>
  <sheets>
    <sheet name="表格_20260501" sheetId="1" r:id="rId1"/>
  </sheets>
  <definedNames>
    <definedName name="_xlnm._FilterDatabase" localSheetId="0" hidden="1">表格_20260501!$A$1:$L$21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<sst xmlns="http://schemas.openxmlformats.org/spreadsheetml/2006/main" count="177" uniqueCount="68">
  <si>
    <t>序号</t>
  </si>
  <si>
    <t>姓名</t>
  </si>
  <si>
    <t>在职地区</t>
  </si>
  <si>
    <t>安置时间</t>
  </si>
  <si>
    <t>工资卡</t>
  </si>
  <si>
    <t>服务费</t>
  </si>
  <si>
    <t>发薪类型</t>
  </si>
  <si>
    <t>应发</t>
  </si>
  <si>
    <t>应返</t>
  </si>
  <si>
    <t>结算所属期</t>
  </si>
  <si>
    <t>在职离职</t>
  </si>
  <si>
    <t>备注</t>
  </si>
  <si>
    <t>渠道</t>
  </si>
  <si>
    <t>户籍住址</t>
  </si>
  <si>
    <t>户籍性质</t>
  </si>
  <si>
    <t>SFid</t>
  </si>
  <si>
    <t>SFid过期时间</t>
  </si>
  <si>
    <t>残疾证ID</t>
  </si>
  <si>
    <t>发证时间</t>
  </si>
  <si>
    <t>联系方式</t>
  </si>
  <si>
    <t>紧急联系人</t>
  </si>
  <si>
    <t>紧急联系人电话</t>
  </si>
  <si>
    <t>紧急联系人关系</t>
  </si>
  <si>
    <t>文化程度</t>
  </si>
  <si>
    <t>婚否</t>
  </si>
  <si>
    <t>银行卡ID</t>
  </si>
  <si>
    <t>开户行</t>
  </si>
  <si>
    <t>残疾类型1</t>
  </si>
  <si>
    <t>残疾等级1</t>
  </si>
  <si>
    <t>残疾类型2</t>
  </si>
  <si>
    <t>残疾等级2</t>
  </si>
  <si>
    <t>入职时间</t>
  </si>
  <si>
    <t>年龄</t>
  </si>
  <si>
    <t>性别</t>
  </si>
  <si>
    <t>残疾部位</t>
  </si>
  <si>
    <t>残疾原因</t>
  </si>
  <si>
    <t>周淑夏</t>
  </si>
  <si>
    <t>武汉</t>
  </si>
  <si>
    <t>1-12 月</t>
  </si>
  <si>
    <t>工商</t>
  </si>
  <si>
    <t>次月发</t>
  </si>
  <si>
    <t>2026 年 1 月</t>
  </si>
  <si>
    <t>在职</t>
  </si>
  <si>
    <t>饶文清</t>
  </si>
  <si>
    <t>瞿姗姗</t>
  </si>
  <si>
    <t>王满</t>
  </si>
  <si>
    <t>万宗华</t>
  </si>
  <si>
    <t>沈术</t>
  </si>
  <si>
    <t>方哲</t>
  </si>
  <si>
    <t>朱双双</t>
  </si>
  <si>
    <t>北京</t>
  </si>
  <si>
    <t>招商</t>
  </si>
  <si>
    <t>皮漫</t>
  </si>
  <si>
    <t>聂流泳</t>
  </si>
  <si>
    <t>余展</t>
  </si>
  <si>
    <t>1 月</t>
  </si>
  <si>
    <t>离职</t>
  </si>
  <si>
    <t>黄海兵</t>
  </si>
  <si>
    <t>段凯</t>
  </si>
  <si>
    <t>郑金胜</t>
  </si>
  <si>
    <t>王亚</t>
  </si>
  <si>
    <t>孙月</t>
  </si>
  <si>
    <t>胡小若</t>
  </si>
  <si>
    <t>程义</t>
  </si>
  <si>
    <t>邓新军</t>
  </si>
  <si>
    <t>合计</t>
  </si>
  <si>
    <t>-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</si>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</sst>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3"/>
  <sheetViews>
    <sheetView tabSelected="1" zoomScaleSheetLayoutView="60" topLeftCell="H1" workbookViewId="0">
      <selection activeCell="W14" sqref="W14"/>
    </sheetView>
  </sheetViews>
  <sheetFormatPr defaultColWidth="9" defaultRowHeight="20" customHeight="1"/>
  <cols>
    <col min="1" max="1" width="20.625" customWidth="1"/>
    <col min="10" max="11" width="13.5" customWidth="1"/>
    <col min="17" max="17" width="13.25" customWidth="1"/>
    <col min="23" max="23" width="15" customWidth="1"/>
  </cols>
  <sheetData>
    <row r="1" customHeight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customHeight="1" spans="1:36">
      <c r="A2" s="1">
        <v>1</v>
      </c>
      <c r="B2" s="1" t="s">
        <v>36</v>
      </c>
      <c r="C2" s="1" t="s">
        <v>37</v>
      </c>
      <c r="D2" s="1" t="s">
        <v>38</v>
      </c>
      <c r="E2" s="1" t="s">
        <v>39</v>
      </c>
      <c r="F2" s="1">
        <v>800</v>
      </c>
      <c r="G2" s="1" t="s">
        <v>40</v>
      </c>
      <c r="H2" s="1">
        <v>2400</v>
      </c>
      <c r="I2" s="1">
        <v>1600</v>
      </c>
      <c r="J2" s="1" t="s">
        <v>41</v>
      </c>
      <c r="K2" s="1" t="s">
        <v>42</v>
      </c>
      <c r="L2" s="1">
        <v>300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customHeight="1" spans="1:36">
      <c r="A3" s="1">
        <v>2</v>
      </c>
      <c r="B3" s="1" t="s">
        <v>43</v>
      </c>
      <c r="C3" s="1" t="s">
        <v>37</v>
      </c>
      <c r="D3" s="1" t="s">
        <v>38</v>
      </c>
      <c r="E3" s="1" t="s">
        <v>39</v>
      </c>
      <c r="F3" s="1">
        <v>800</v>
      </c>
      <c r="G3" s="1" t="s">
        <v>40</v>
      </c>
      <c r="H3" s="1">
        <v>2400</v>
      </c>
      <c r="I3" s="1">
        <v>1600</v>
      </c>
      <c r="J3" s="1" t="s">
        <v>41</v>
      </c>
      <c r="K3" s="1" t="s">
        <v>42</v>
      </c>
      <c r="L3" s="1">
        <v>300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customHeight="1" spans="1:36">
      <c r="A4" s="1">
        <v>3</v>
      </c>
      <c r="B4" s="1" t="s">
        <v>44</v>
      </c>
      <c r="C4" s="1" t="s">
        <v>37</v>
      </c>
      <c r="D4" s="1" t="s">
        <v>38</v>
      </c>
      <c r="E4" s="1" t="s">
        <v>39</v>
      </c>
      <c r="F4" s="1">
        <v>800</v>
      </c>
      <c r="G4" s="1" t="s">
        <v>40</v>
      </c>
      <c r="H4" s="1">
        <v>1929</v>
      </c>
      <c r="I4" s="1">
        <v>1129</v>
      </c>
      <c r="J4" s="1" t="s">
        <v>41</v>
      </c>
      <c r="K4" s="1" t="s">
        <v>42</v>
      </c>
      <c r="L4" s="1">
        <v>300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customHeight="1" spans="1:36">
      <c r="A5" s="1">
        <v>4</v>
      </c>
      <c r="B5" s="1" t="s">
        <v>45</v>
      </c>
      <c r="C5" s="1" t="s">
        <v>37</v>
      </c>
      <c r="D5" s="1" t="s">
        <v>38</v>
      </c>
      <c r="E5" s="1" t="s">
        <v>39</v>
      </c>
      <c r="F5" s="1">
        <v>800</v>
      </c>
      <c r="G5" s="1" t="s">
        <v>40</v>
      </c>
      <c r="H5" s="1">
        <v>2400</v>
      </c>
      <c r="I5" s="1">
        <v>1600</v>
      </c>
      <c r="J5" s="1" t="s">
        <v>41</v>
      </c>
      <c r="K5" s="1" t="s">
        <v>42</v>
      </c>
      <c r="L5" s="1">
        <v>300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customHeight="1" spans="1:36">
      <c r="A6" s="1">
        <v>5</v>
      </c>
      <c r="B6" s="1" t="s">
        <v>46</v>
      </c>
      <c r="C6" s="1" t="s">
        <v>37</v>
      </c>
      <c r="D6" s="1" t="s">
        <v>38</v>
      </c>
      <c r="E6" s="1" t="s">
        <v>39</v>
      </c>
      <c r="F6" s="1">
        <v>800</v>
      </c>
      <c r="G6" s="1" t="s">
        <v>40</v>
      </c>
      <c r="H6" s="1">
        <v>2400</v>
      </c>
      <c r="I6" s="1">
        <v>1600</v>
      </c>
      <c r="J6" s="1" t="s">
        <v>41</v>
      </c>
      <c r="K6" s="1" t="s">
        <v>42</v>
      </c>
      <c r="L6" s="1">
        <v>300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customHeight="1" spans="1:36">
      <c r="A7" s="1">
        <v>6</v>
      </c>
      <c r="B7" s="1" t="s">
        <v>47</v>
      </c>
      <c r="C7" s="1" t="s">
        <v>37</v>
      </c>
      <c r="D7" s="1" t="s">
        <v>38</v>
      </c>
      <c r="E7" s="1" t="s">
        <v>39</v>
      </c>
      <c r="F7" s="1">
        <v>800</v>
      </c>
      <c r="G7" s="1" t="s">
        <v>40</v>
      </c>
      <c r="H7" s="1">
        <v>2400</v>
      </c>
      <c r="I7" s="1">
        <v>1600</v>
      </c>
      <c r="J7" s="1" t="s">
        <v>41</v>
      </c>
      <c r="K7" s="1" t="s">
        <v>42</v>
      </c>
      <c r="L7" s="1">
        <v>300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customHeight="1" spans="1:36">
      <c r="A8" s="1">
        <v>7</v>
      </c>
      <c r="B8" s="1" t="s">
        <v>48</v>
      </c>
      <c r="C8" s="1" t="s">
        <v>37</v>
      </c>
      <c r="D8" s="1" t="s">
        <v>38</v>
      </c>
      <c r="E8" s="1" t="s">
        <v>39</v>
      </c>
      <c r="F8" s="1">
        <v>800</v>
      </c>
      <c r="G8" s="1" t="s">
        <v>40</v>
      </c>
      <c r="H8" s="1">
        <v>2400</v>
      </c>
      <c r="I8" s="1">
        <v>1600</v>
      </c>
      <c r="J8" s="1" t="s">
        <v>41</v>
      </c>
      <c r="K8" s="1" t="s">
        <v>42</v>
      </c>
      <c r="L8" s="1">
        <v>300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customHeight="1" spans="1:36">
      <c r="A9" s="1">
        <v>8</v>
      </c>
      <c r="B9" s="1" t="s">
        <v>49</v>
      </c>
      <c r="C9" s="1" t="s">
        <v>50</v>
      </c>
      <c r="D9" s="1" t="s">
        <v>38</v>
      </c>
      <c r="E9" s="1" t="s">
        <v>51</v>
      </c>
      <c r="F9" s="1">
        <v>800</v>
      </c>
      <c r="G9" s="1" t="s">
        <v>40</v>
      </c>
      <c r="H9" s="1">
        <v>2540</v>
      </c>
      <c r="I9" s="1">
        <v>1740</v>
      </c>
      <c r="J9" s="1" t="s">
        <v>41</v>
      </c>
      <c r="K9" s="1" t="s">
        <v>42</v>
      </c>
      <c r="L9" s="1">
        <v>300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customHeight="1" spans="1:36">
      <c r="A10" s="1">
        <v>9</v>
      </c>
      <c r="B10" s="1" t="s">
        <v>52</v>
      </c>
      <c r="C10" s="1" t="s">
        <v>37</v>
      </c>
      <c r="D10" s="1" t="s">
        <v>38</v>
      </c>
      <c r="E10" s="1" t="s">
        <v>51</v>
      </c>
      <c r="F10" s="1">
        <v>800</v>
      </c>
      <c r="G10" s="1" t="s">
        <v>40</v>
      </c>
      <c r="H10" s="1">
        <v>1929</v>
      </c>
      <c r="I10" s="1">
        <v>1129</v>
      </c>
      <c r="J10" s="1" t="s">
        <v>41</v>
      </c>
      <c r="K10" s="1" t="s">
        <v>42</v>
      </c>
      <c r="L10" s="1">
        <v>300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customHeight="1" spans="1:36">
      <c r="A11" s="1">
        <v>10</v>
      </c>
      <c r="B11" s="1" t="s">
        <v>53</v>
      </c>
      <c r="C11" s="1" t="s">
        <v>37</v>
      </c>
      <c r="D11" s="1" t="s">
        <v>38</v>
      </c>
      <c r="E11" s="1" t="s">
        <v>39</v>
      </c>
      <c r="F11" s="1">
        <v>800</v>
      </c>
      <c r="G11" s="1" t="s">
        <v>40</v>
      </c>
      <c r="H11" s="1">
        <v>2400</v>
      </c>
      <c r="I11" s="1">
        <v>1600</v>
      </c>
      <c r="J11" s="1" t="s">
        <v>41</v>
      </c>
      <c r="K11" s="1" t="s">
        <v>42</v>
      </c>
      <c r="L11" s="1">
        <v>300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customHeight="1" spans="1:36">
      <c r="A12" s="1">
        <v>11</v>
      </c>
      <c r="B12" s="1" t="s">
        <v>54</v>
      </c>
      <c r="C12" s="1" t="s">
        <v>37</v>
      </c>
      <c r="D12" s="1" t="s">
        <v>55</v>
      </c>
      <c r="E12" s="1" t="s">
        <v>39</v>
      </c>
      <c r="F12" s="1">
        <v>800</v>
      </c>
      <c r="G12" s="1" t="s">
        <v>40</v>
      </c>
      <c r="H12" s="1">
        <v>2400</v>
      </c>
      <c r="I12" s="1">
        <v>1600</v>
      </c>
      <c r="J12" s="1" t="s">
        <v>41</v>
      </c>
      <c r="K12" s="1" t="s">
        <v>56</v>
      </c>
      <c r="L12" s="1"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customHeight="1" spans="1:36">
      <c r="A13" s="1">
        <v>12</v>
      </c>
      <c r="B13" s="1" t="s">
        <v>57</v>
      </c>
      <c r="C13" s="1" t="s">
        <v>37</v>
      </c>
      <c r="D13" s="1" t="s">
        <v>38</v>
      </c>
      <c r="E13" s="1" t="s">
        <v>39</v>
      </c>
      <c r="F13" s="1">
        <v>800</v>
      </c>
      <c r="G13" s="1" t="s">
        <v>40</v>
      </c>
      <c r="H13" s="1">
        <v>2400</v>
      </c>
      <c r="I13" s="1">
        <v>1600</v>
      </c>
      <c r="J13" s="1" t="s">
        <v>41</v>
      </c>
      <c r="K13" s="1" t="s">
        <v>42</v>
      </c>
      <c r="L13" s="1">
        <v>300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customHeight="1" spans="1:36">
      <c r="A14" s="1">
        <v>13</v>
      </c>
      <c r="B14" s="1" t="s">
        <v>58</v>
      </c>
      <c r="C14" s="1" t="s">
        <v>37</v>
      </c>
      <c r="D14" s="1" t="s">
        <v>38</v>
      </c>
      <c r="E14" s="1" t="s">
        <v>39</v>
      </c>
      <c r="F14" s="1">
        <v>800</v>
      </c>
      <c r="G14" s="1" t="s">
        <v>40</v>
      </c>
      <c r="H14" s="1">
        <v>2400</v>
      </c>
      <c r="I14" s="1">
        <v>1600</v>
      </c>
      <c r="J14" s="1" t="s">
        <v>41</v>
      </c>
      <c r="K14" s="1" t="s">
        <v>42</v>
      </c>
      <c r="L14" s="1">
        <v>300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customHeight="1" spans="1:36">
      <c r="A15" s="1">
        <v>14</v>
      </c>
      <c r="B15" s="1" t="s">
        <v>59</v>
      </c>
      <c r="C15" s="1" t="s">
        <v>37</v>
      </c>
      <c r="D15" s="1" t="s">
        <v>38</v>
      </c>
      <c r="E15" s="1" t="s">
        <v>39</v>
      </c>
      <c r="F15" s="1">
        <v>800</v>
      </c>
      <c r="G15" s="1" t="s">
        <v>40</v>
      </c>
      <c r="H15" s="1">
        <v>2400</v>
      </c>
      <c r="I15" s="1">
        <v>1600</v>
      </c>
      <c r="J15" s="1" t="s">
        <v>41</v>
      </c>
      <c r="K15" s="1" t="s">
        <v>42</v>
      </c>
      <c r="L15" s="1">
        <v>300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customHeight="1" spans="1:36">
      <c r="A16" s="1">
        <v>15</v>
      </c>
      <c r="B16" s="1" t="s">
        <v>60</v>
      </c>
      <c r="C16" s="1" t="s">
        <v>37</v>
      </c>
      <c r="D16" s="1" t="s">
        <v>38</v>
      </c>
      <c r="E16" s="1" t="s">
        <v>39</v>
      </c>
      <c r="F16" s="1">
        <v>800</v>
      </c>
      <c r="G16" s="1" t="s">
        <v>40</v>
      </c>
      <c r="H16" s="1">
        <v>2400</v>
      </c>
      <c r="I16" s="1">
        <v>1600</v>
      </c>
      <c r="J16" s="1" t="s">
        <v>41</v>
      </c>
      <c r="K16" s="1" t="s">
        <v>42</v>
      </c>
      <c r="L16" s="1">
        <v>300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customHeight="1" spans="1:36">
      <c r="A17" s="1">
        <v>16</v>
      </c>
      <c r="B17" s="1" t="s">
        <v>61</v>
      </c>
      <c r="C17" s="1" t="s">
        <v>37</v>
      </c>
      <c r="D17" s="1" t="s">
        <v>38</v>
      </c>
      <c r="E17" s="1" t="s">
        <v>39</v>
      </c>
      <c r="F17" s="1">
        <v>800</v>
      </c>
      <c r="G17" s="1" t="s">
        <v>40</v>
      </c>
      <c r="H17" s="1">
        <v>2400</v>
      </c>
      <c r="I17" s="1">
        <v>1600</v>
      </c>
      <c r="J17" s="1" t="s">
        <v>41</v>
      </c>
      <c r="K17" s="1" t="s">
        <v>42</v>
      </c>
      <c r="L17" s="1">
        <v>300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customHeight="1" spans="1:36">
      <c r="A18" s="1">
        <v>17</v>
      </c>
      <c r="B18" s="1" t="s">
        <v>62</v>
      </c>
      <c r="C18" s="1" t="s">
        <v>50</v>
      </c>
      <c r="D18" s="1" t="s">
        <v>38</v>
      </c>
      <c r="E18" s="1" t="s">
        <v>51</v>
      </c>
      <c r="F18" s="1">
        <v>800</v>
      </c>
      <c r="G18" s="1" t="s">
        <v>40</v>
      </c>
      <c r="H18" s="1">
        <v>2540</v>
      </c>
      <c r="I18" s="1">
        <v>1740</v>
      </c>
      <c r="J18" s="1" t="s">
        <v>41</v>
      </c>
      <c r="K18" s="1" t="s">
        <v>42</v>
      </c>
      <c r="L18" s="1">
        <v>300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customHeight="1" spans="1:36">
      <c r="A19" s="1">
        <v>18</v>
      </c>
      <c r="B19" s="1" t="s">
        <v>63</v>
      </c>
      <c r="C19" s="1" t="s">
        <v>37</v>
      </c>
      <c r="D19" s="1" t="s">
        <v>38</v>
      </c>
      <c r="E19" s="1"/>
      <c r="F19" s="1">
        <v>800</v>
      </c>
      <c r="G19" s="1" t="s">
        <v>40</v>
      </c>
      <c r="H19" s="1">
        <v>1809</v>
      </c>
      <c r="I19" s="1">
        <v>1009</v>
      </c>
      <c r="J19" s="1" t="s">
        <v>41</v>
      </c>
      <c r="K19" s="1" t="s">
        <v>42</v>
      </c>
      <c r="L19" s="1">
        <v>300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customHeight="1" spans="1:36">
      <c r="A20" s="1">
        <v>19</v>
      </c>
      <c r="B20" s="1" t="s">
        <v>64</v>
      </c>
      <c r="C20" s="1" t="s">
        <v>37</v>
      </c>
      <c r="D20" s="1" t="s">
        <v>38</v>
      </c>
      <c r="E20" s="1"/>
      <c r="F20" s="1">
        <v>800</v>
      </c>
      <c r="G20" s="1" t="s">
        <v>40</v>
      </c>
      <c r="H20" s="1">
        <v>1809</v>
      </c>
      <c r="I20" s="1">
        <v>1009</v>
      </c>
      <c r="J20" s="1" t="s">
        <v>41</v>
      </c>
      <c r="K20" s="1" t="s">
        <v>42</v>
      </c>
      <c r="L20" s="1">
        <v>300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customHeight="1" spans="1:36">
      <c r="A21" s="1" t="s">
        <v>65</v>
      </c>
      <c r="B21" s="1" t="s">
        <v>66</v>
      </c>
      <c r="C21" s="1" t="s">
        <v>66</v>
      </c>
      <c r="D21" s="1" t="s">
        <v>66</v>
      </c>
      <c r="E21" s="1" t="s">
        <v>66</v>
      </c>
      <c r="F21" s="1" t="s">
        <v>66</v>
      </c>
      <c r="G21" s="1" t="s">
        <v>66</v>
      </c>
      <c r="H21" s="1">
        <v>28556</v>
      </c>
      <c r="I21" s="1" t="s">
        <v>66</v>
      </c>
      <c r="J21" s="1" t="s">
        <v>66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3" customHeight="1" spans="1:36">
      <c r="A23" t="s">
        <v>67</v>
      </c>
      <c r="F23" s="2">
        <f>SUMIF(K2:K20,"在职",F2:F20)</f>
        <v>14400</v>
      </c>
      <c r="H23" s="2">
        <f>SUMIF(K2:K20,"在职",H2:H20)</f>
        <v>41356</v>
      </c>
      <c r="I23" s="2">
        <f>SUMIF(K2:K20,"在职",I2:I20)</f>
        <v>26956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表格_20260501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左边</cp:lastModifiedBy>
  <dcterms:created xsi:type="dcterms:W3CDTF">2026-05-01T02:50:00Z</dcterms:created>
  <dcterms:modified xsi:type="dcterms:W3CDTF">2026-05-01T12:30:06Z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2DEFB06D70654E2AB592DF3AB18179A0_13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